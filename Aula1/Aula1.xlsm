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013" codeName="{51196F13-6AD0-C1B8-E2B4-A1F9AE17003E}"/>
  <workbookPr filterPrivacy="1" codeName="ThisWorkbook" defaultThemeVersion="166925"/>
  <xr:revisionPtr revIDLastSave="0" documentId="13_ncr:1_{F01B75F5-2DF6-D243-8424-E639307977A4}" xr6:coauthVersionLast="45" xr6:coauthVersionMax="45" xr10:uidLastSave="{00000000-0000-0000-0000-000000000000}"/>
  <bookViews>
    <workbookView xWindow="0" yWindow="460" windowWidth="25600" windowHeight="14700" firstSheet="3" activeTab="3" xr2:uid="{00000000-000D-0000-FFFF-FFFF00000000}"/>
  </bookViews>
  <sheets>
    <sheet name="Programa" sheetId="11" r:id="rId1"/>
    <sheet name="Calculadora" sheetId="7" r:id="rId2"/>
    <sheet name="Filtros" sheetId="12" r:id="rId3"/>
    <sheet name="PreencheAuto" sheetId="14" r:id="rId4"/>
    <sheet name="Scenario Summary" sheetId="20" r:id="rId5"/>
    <sheet name="Cenarios" sheetId="15" r:id="rId6"/>
    <sheet name="Data Table" sheetId="16" r:id="rId7"/>
    <sheet name="Goal Seek" sheetId="17" r:id="rId8"/>
    <sheet name="Validação" sheetId="18" r:id="rId9"/>
    <sheet name="Lista Suspensa Condicional" sheetId="19" r:id="rId10"/>
  </sheets>
  <definedNames>
    <definedName name="_xlnm._FilterDatabase" localSheetId="2" hidden="1">Filtros!$A$1:$E$17</definedName>
    <definedName name="_xlnm.Criteria" localSheetId="2">Filtros!$H$4:$K$7</definedName>
    <definedName name="Espanha">Table3[Espanha]</definedName>
    <definedName name="_xlnm.Extract" localSheetId="2">Filtros!$H$25:$L$25</definedName>
    <definedName name="França">Table3[França]</definedName>
    <definedName name="notas">Validação!$B$5:$B$8</definedName>
    <definedName name="Pais">Table2[Países]</definedName>
    <definedName name="Portugal">Table3[Portugal]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3" i="14" l="1"/>
  <c r="F4" i="14"/>
  <c r="F5" i="14"/>
  <c r="F6" i="14"/>
  <c r="F7" i="14"/>
  <c r="F8" i="14"/>
  <c r="F2" i="14"/>
  <c r="E3" i="14"/>
  <c r="D2" i="14" l="1"/>
  <c r="E4" i="14"/>
  <c r="E5" i="14"/>
  <c r="E6" i="14"/>
  <c r="E7" i="14"/>
  <c r="E8" i="14"/>
  <c r="E2" i="14"/>
  <c r="C18" i="12"/>
  <c r="E20" i="7"/>
  <c r="F20" i="7"/>
  <c r="G20" i="7"/>
  <c r="H20" i="7"/>
  <c r="E21" i="7"/>
  <c r="F21" i="7"/>
  <c r="G21" i="7"/>
  <c r="H21" i="7"/>
  <c r="E22" i="7"/>
  <c r="F22" i="7"/>
  <c r="G22" i="7"/>
  <c r="H22" i="7"/>
  <c r="E23" i="7"/>
  <c r="F23" i="7"/>
  <c r="G23" i="7"/>
  <c r="H23" i="7"/>
  <c r="E24" i="7"/>
  <c r="F24" i="7"/>
  <c r="G24" i="7"/>
  <c r="H24" i="7"/>
  <c r="D21" i="7"/>
  <c r="D22" i="7"/>
  <c r="D23" i="7"/>
  <c r="D24" i="7"/>
  <c r="D20" i="7"/>
  <c r="E5" i="7"/>
  <c r="F5" i="7"/>
  <c r="G5" i="7"/>
  <c r="H5" i="7"/>
  <c r="E6" i="7"/>
  <c r="F6" i="7"/>
  <c r="G6" i="7"/>
  <c r="H6" i="7"/>
  <c r="E7" i="7"/>
  <c r="F7" i="7"/>
  <c r="G7" i="7"/>
  <c r="H7" i="7"/>
  <c r="E8" i="7"/>
  <c r="F8" i="7"/>
  <c r="G8" i="7"/>
  <c r="H8" i="7"/>
  <c r="E9" i="7"/>
  <c r="F9" i="7"/>
  <c r="G9" i="7"/>
  <c r="H9" i="7"/>
  <c r="D5" i="7"/>
  <c r="D6" i="7"/>
  <c r="D7" i="7"/>
  <c r="D8" i="7"/>
  <c r="D9" i="7"/>
  <c r="C8" i="17" l="1"/>
  <c r="D8" i="16"/>
  <c r="E10" i="16" s="1"/>
  <c r="F15" i="15"/>
  <c r="E15" i="15"/>
  <c r="D15" i="15"/>
  <c r="C15" i="15"/>
  <c r="F14" i="15"/>
  <c r="E14" i="15"/>
  <c r="D14" i="15"/>
  <c r="C14" i="15"/>
  <c r="F13" i="15"/>
  <c r="E13" i="15"/>
  <c r="D13" i="15"/>
  <c r="C13" i="15"/>
  <c r="C12" i="16" l="1"/>
  <c r="B20" i="16"/>
</calcChain>
</file>

<file path=xl/sharedStrings.xml><?xml version="1.0" encoding="utf-8"?>
<sst xmlns="http://schemas.openxmlformats.org/spreadsheetml/2006/main" count="226" uniqueCount="176">
  <si>
    <t>Calculadora de Multiplicações</t>
  </si>
  <si>
    <t>Calculadora de Divisões</t>
  </si>
  <si>
    <t>Calculadora de qualquer operação</t>
  </si>
  <si>
    <t>Operação:</t>
  </si>
  <si>
    <t>1ª sessão (21 de outubro)</t>
  </si>
  <si>
    <t>Revisitar o Excel</t>
  </si>
  <si>
    <t>     Navegar no Ambiente do Excel.</t>
  </si>
  <si>
    <t>     Menus. Livro e folhas de cálculo.</t>
  </si>
  <si>
    <t>     Para que serve uma folha de cálculo.</t>
  </si>
  <si>
    <t>     Funções básicas do Excel (Soma, Média, ..., Se, ...)</t>
  </si>
  <si>
    <t>     Endereços relativos, absolutos e mistos, exposição dos operadores aritméticos, fórmulas, funções.</t>
  </si>
  <si>
    <t>Explorar o Excel - Funções avançadas do Excel</t>
  </si>
  <si>
    <t>  - Filtros e Filtros Avançados</t>
  </si>
  <si>
    <t>  - Preenchimento automático</t>
  </si>
  <si>
    <t>  - Eliminar Duplicados</t>
  </si>
  <si>
    <t>  - Validação de Dados</t>
  </si>
  <si>
    <t>   - Análise de Cenários</t>
  </si>
  <si>
    <t>           - Gestor de Cenários</t>
  </si>
  <si>
    <t>           - Atingir Objetivos</t>
  </si>
  <si>
    <t>           - Tabelas de Dados</t>
  </si>
  <si>
    <t>2ª sessão (28 de outubro)</t>
  </si>
  <si>
    <t>Excel como uma Base de Dados</t>
  </si>
  <si>
    <t>     Elaborar Queries em Excel</t>
  </si>
  <si>
    <t>             - Filtros</t>
  </si>
  <si>
    <t>             - Filtros Avançados</t>
  </si>
  <si>
    <t>             - Tabelas Dinâmicas</t>
  </si>
  <si>
    <t>             - Gráficos Dinâmicos</t>
  </si>
  <si>
    <t>Usar o Excel como interface de uma BD externa (MSAccess e/ou MySQL)</t>
  </si>
  <si>
    <t>  - Tabelas Dinâmicas</t>
  </si>
  <si>
    <t>  - Gráficos Dinâmico</t>
  </si>
  <si>
    <t>Automatizar o Excel</t>
  </si>
  <si>
    <t>     -Elaborar macro com o gravador de macros do Excel</t>
  </si>
  <si>
    <t>     -Elaborar vários exercícios de Macros</t>
  </si>
  <si>
    <t>3ª sessão (4 novembro)</t>
  </si>
  <si>
    <t>Programar o Excel (VBA)</t>
  </si>
  <si>
    <t>     - Elaborar macro em VBA</t>
  </si>
  <si>
    <t>4ª sessão (11 novembro)</t>
  </si>
  <si>
    <t>Programar o Excel (cont.)</t>
  </si>
  <si>
    <t>Explorar outras funções avançadas em Excel</t>
  </si>
  <si>
    <t>  - consolidação de dados</t>
  </si>
  <si>
    <t>Atividade 1</t>
  </si>
  <si>
    <t>Atividade 2</t>
  </si>
  <si>
    <t>Atividade 3</t>
  </si>
  <si>
    <t>Atividade 4</t>
  </si>
  <si>
    <t>Atividade 5</t>
  </si>
  <si>
    <t>Calculadora de Subtrações</t>
  </si>
  <si>
    <t xml:space="preserve">Calculadora de Somas </t>
  </si>
  <si>
    <t xml:space="preserve">Nome </t>
  </si>
  <si>
    <t>Morada</t>
  </si>
  <si>
    <t xml:space="preserve">Venc. </t>
  </si>
  <si>
    <t>IRS</t>
  </si>
  <si>
    <t xml:space="preserve">Desc. </t>
  </si>
  <si>
    <t>Adriana</t>
  </si>
  <si>
    <t>Mor5</t>
  </si>
  <si>
    <t>André</t>
  </si>
  <si>
    <t>Mor1</t>
  </si>
  <si>
    <t>Andreia</t>
  </si>
  <si>
    <t>Mor2</t>
  </si>
  <si>
    <t>Augusta</t>
  </si>
  <si>
    <t>Mor3</t>
  </si>
  <si>
    <t>Beatriz</t>
  </si>
  <si>
    <t>Francisca</t>
  </si>
  <si>
    <t>Mor7</t>
  </si>
  <si>
    <t>Gabriela</t>
  </si>
  <si>
    <t>Mor6</t>
  </si>
  <si>
    <t>José</t>
  </si>
  <si>
    <t>Julia</t>
  </si>
  <si>
    <t>Lopes</t>
  </si>
  <si>
    <t>Mafalda</t>
  </si>
  <si>
    <t>Maria</t>
  </si>
  <si>
    <t>Mor4</t>
  </si>
  <si>
    <t>Paula</t>
  </si>
  <si>
    <t>Pedro</t>
  </si>
  <si>
    <t>Teresa</t>
  </si>
  <si>
    <t>Joao</t>
  </si>
  <si>
    <t>Manuel</t>
  </si>
  <si>
    <t>Esteves</t>
  </si>
  <si>
    <t>Francisco</t>
  </si>
  <si>
    <t>Data Table</t>
  </si>
  <si>
    <t>Cenários</t>
  </si>
  <si>
    <t>Stock</t>
  </si>
  <si>
    <t>Vendas</t>
  </si>
  <si>
    <t>Jan</t>
  </si>
  <si>
    <t>Fev</t>
  </si>
  <si>
    <t>Mar</t>
  </si>
  <si>
    <t>Abr</t>
  </si>
  <si>
    <t>Lucro</t>
  </si>
  <si>
    <t>Preço Máx.</t>
  </si>
  <si>
    <t>Preço Min.</t>
  </si>
  <si>
    <t>Maria João Lopes</t>
  </si>
  <si>
    <t xml:space="preserve">João Ribeiro </t>
  </si>
  <si>
    <t>Manuel Alves dos Santos</t>
  </si>
  <si>
    <t>Esteves Peixoto</t>
  </si>
  <si>
    <t>Francisco Bem-Haja</t>
  </si>
  <si>
    <t>Maria José Ribeiro</t>
  </si>
  <si>
    <t>Joao Lopes Cardoso</t>
  </si>
  <si>
    <t>Ribeiro</t>
  </si>
  <si>
    <t>Santos</t>
  </si>
  <si>
    <t>Peixoto</t>
  </si>
  <si>
    <t>Haja</t>
  </si>
  <si>
    <t>Cardoso</t>
  </si>
  <si>
    <t>Nome</t>
  </si>
  <si>
    <t>Apelido</t>
  </si>
  <si>
    <t xml:space="preserve">Aumento </t>
  </si>
  <si>
    <t>%</t>
  </si>
  <si>
    <t>Produto1</t>
  </si>
  <si>
    <t>Produto2</t>
  </si>
  <si>
    <t>Produto3</t>
  </si>
  <si>
    <t>Ano</t>
  </si>
  <si>
    <t>Previsão P1</t>
  </si>
  <si>
    <t>PrevisãoP2</t>
  </si>
  <si>
    <t>Previsão P3</t>
  </si>
  <si>
    <t>Média</t>
  </si>
  <si>
    <t>Notas do António</t>
  </si>
  <si>
    <t>Matemática</t>
  </si>
  <si>
    <t>Física</t>
  </si>
  <si>
    <t>Inglês</t>
  </si>
  <si>
    <t>Português</t>
  </si>
  <si>
    <t>Lista</t>
  </si>
  <si>
    <t>inserir valores à mão</t>
  </si>
  <si>
    <t>inserir valores de uma lista</t>
  </si>
  <si>
    <t>inserir valores de uma lista com nome</t>
  </si>
  <si>
    <t>inserir valores de uma lista em tabela</t>
  </si>
  <si>
    <t>Países</t>
  </si>
  <si>
    <t>Portugal</t>
  </si>
  <si>
    <t>Espanha</t>
  </si>
  <si>
    <t>França</t>
  </si>
  <si>
    <t>Madrid</t>
  </si>
  <si>
    <t>Paris</t>
  </si>
  <si>
    <t>Lisboa</t>
  </si>
  <si>
    <t>Braga</t>
  </si>
  <si>
    <t>Barcelona</t>
  </si>
  <si>
    <t>Lyon</t>
  </si>
  <si>
    <t>Guimarães</t>
  </si>
  <si>
    <t>Vigo</t>
  </si>
  <si>
    <t>Nice</t>
  </si>
  <si>
    <t>*</t>
  </si>
  <si>
    <t xml:space="preserve">tOTAL </t>
  </si>
  <si>
    <t xml:space="preserve">Usar os subtotais para usar os filtros </t>
  </si>
  <si>
    <t xml:space="preserve">Resultados: </t>
  </si>
  <si>
    <t>&gt;3000</t>
  </si>
  <si>
    <t xml:space="preserve">João </t>
  </si>
  <si>
    <t xml:space="preserve">Lopes </t>
  </si>
  <si>
    <t xml:space="preserve">Maria </t>
  </si>
  <si>
    <t>NomesAut</t>
  </si>
  <si>
    <t>Apelidos</t>
  </si>
  <si>
    <t>$C$13</t>
  </si>
  <si>
    <t>$D$13</t>
  </si>
  <si>
    <t>$E$13</t>
  </si>
  <si>
    <t>$F$13</t>
  </si>
  <si>
    <t>$C$14</t>
  </si>
  <si>
    <t>$D$14</t>
  </si>
  <si>
    <t>$E$14</t>
  </si>
  <si>
    <t>$F$14</t>
  </si>
  <si>
    <t>$C$15</t>
  </si>
  <si>
    <t>$D$15</t>
  </si>
  <si>
    <t>$E$15</t>
  </si>
  <si>
    <t>$F$15</t>
  </si>
  <si>
    <t>Realista</t>
  </si>
  <si>
    <t>Created by Célia Natália Lemos Figueiredo on 21/10/2019</t>
  </si>
  <si>
    <t>Pessimista</t>
  </si>
  <si>
    <t>Scenario Summary</t>
  </si>
  <si>
    <t>Changing Cells:</t>
  </si>
  <si>
    <t>Current Values:</t>
  </si>
  <si>
    <t>Result Cells:</t>
  </si>
  <si>
    <t>Notes: Current Values column represents values of changing cells at</t>
  </si>
  <si>
    <t>time Scenario Summary Report was created.  Changing cells for each</t>
  </si>
  <si>
    <t>scenario are highlighted in grey.</t>
  </si>
  <si>
    <t>"portugues</t>
  </si>
  <si>
    <t>Quimica</t>
  </si>
  <si>
    <t>notas</t>
  </si>
  <si>
    <t>ola</t>
  </si>
  <si>
    <t xml:space="preserve">Pais: </t>
  </si>
  <si>
    <t xml:space="preserve">Cidade: </t>
  </si>
  <si>
    <t>Nome (Flash-fill)</t>
  </si>
  <si>
    <t>Nome (contar as 1ª letras)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</si>
</sst>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0" x14ac:knownFonts="1">
    <font>
      <sz val="11"/>
      <color theme="1"/>
      <name val="Calibri"/>
      <family val="2"/>
      <scheme val="minor"/>
    </font>
    <font>
      <sz val="12"/>
      <color rgb="FF222222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indexed="9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color indexed="18"/>
      <name val="Calibri"/>
      <family val="2"/>
      <scheme val="minor"/>
    </font>
    <font>
      <sz val="10"/>
      <color indexed="9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  <fill>
      <patternFill patternType="solid">
        <fgColor theme="0" tint="-0.249977111117893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35">
    <xf numFmtId="0" fontId="0" fillId="0" borderId="0" xfId="0"/>
    <xf numFmtId="0" fontId="0" fillId="0" borderId="1" xfId="0" applyBorder="1"/>
    <xf numFmtId="0" fontId="0" fillId="0" borderId="0" xfId="0" applyBorder="1"/>
    <xf numFmtId="0" fontId="0" fillId="0" borderId="1" xfId="0" applyBorder="1" applyAlignment="1">
      <alignment horizontal="center"/>
    </xf>
    <xf numFmtId="0" fontId="0" fillId="0" borderId="2" xfId="0" applyBorder="1"/>
    <xf numFmtId="0" fontId="0" fillId="0" borderId="0" xfId="0" applyAlignment="1">
      <alignment vertical="center" wrapText="1"/>
    </xf>
    <xf numFmtId="0" fontId="1" fillId="0" borderId="0" xfId="0" applyFont="1" applyAlignment="1">
      <alignment vertical="center" wrapText="1"/>
    </xf>
    <xf numFmtId="0" fontId="0" fillId="4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9" fontId="0" fillId="0" borderId="0" xfId="0" applyNumberFormat="1"/>
    <xf numFmtId="10" fontId="0" fillId="0" borderId="0" xfId="0" applyNumberFormat="1"/>
    <xf numFmtId="0" fontId="2" fillId="0" borderId="0" xfId="0" applyFont="1"/>
    <xf numFmtId="0" fontId="0" fillId="0" borderId="1" xfId="0" applyFill="1" applyBorder="1"/>
    <xf numFmtId="0" fontId="0" fillId="0" borderId="0" xfId="0" applyFill="1" applyBorder="1"/>
    <xf numFmtId="0" fontId="0" fillId="0" borderId="0" xfId="0" applyFill="1" applyBorder="1" applyAlignment="1"/>
    <xf numFmtId="9" fontId="0" fillId="0" borderId="0" xfId="0" applyNumberFormat="1" applyFill="1" applyBorder="1" applyAlignment="1"/>
    <xf numFmtId="0" fontId="0" fillId="0" borderId="5" xfId="0" applyFill="1" applyBorder="1" applyAlignment="1"/>
    <xf numFmtId="0" fontId="4" fillId="7" borderId="6" xfId="0" applyFont="1" applyFill="1" applyBorder="1" applyAlignment="1">
      <alignment horizontal="left"/>
    </xf>
    <xf numFmtId="0" fontId="4" fillId="7" borderId="4" xfId="0" applyFont="1" applyFill="1" applyBorder="1" applyAlignment="1">
      <alignment horizontal="left"/>
    </xf>
    <xf numFmtId="0" fontId="0" fillId="0" borderId="7" xfId="0" applyFill="1" applyBorder="1" applyAlignment="1"/>
    <xf numFmtId="0" fontId="5" fillId="8" borderId="0" xfId="0" applyFont="1" applyFill="1" applyBorder="1" applyAlignment="1">
      <alignment horizontal="left"/>
    </xf>
    <xf numFmtId="0" fontId="6" fillId="8" borderId="7" xfId="0" applyFont="1" applyFill="1" applyBorder="1" applyAlignment="1">
      <alignment horizontal="left"/>
    </xf>
    <xf numFmtId="0" fontId="5" fillId="8" borderId="5" xfId="0" applyFont="1" applyFill="1" applyBorder="1" applyAlignment="1">
      <alignment horizontal="left"/>
    </xf>
    <xf numFmtId="0" fontId="7" fillId="7" borderId="4" xfId="0" applyFont="1" applyFill="1" applyBorder="1" applyAlignment="1">
      <alignment horizontal="right"/>
    </xf>
    <xf numFmtId="0" fontId="7" fillId="7" borderId="6" xfId="0" applyFont="1" applyFill="1" applyBorder="1" applyAlignment="1">
      <alignment horizontal="right"/>
    </xf>
    <xf numFmtId="9" fontId="0" fillId="9" borderId="0" xfId="0" applyNumberFormat="1" applyFill="1" applyBorder="1" applyAlignment="1"/>
    <xf numFmtId="0" fontId="8" fillId="0" borderId="0" xfId="0" applyFont="1" applyFill="1" applyBorder="1" applyAlignment="1">
      <alignment vertical="top" wrapText="1"/>
    </xf>
    <xf numFmtId="0" fontId="3" fillId="6" borderId="7" xfId="0" applyFont="1" applyFill="1" applyBorder="1"/>
    <xf numFmtId="0" fontId="3" fillId="6" borderId="0" xfId="0" applyFont="1" applyFill="1" applyBorder="1"/>
    <xf numFmtId="0" fontId="3" fillId="6" borderId="6" xfId="0" applyFont="1" applyFill="1" applyBorder="1"/>
    <xf numFmtId="0" fontId="3" fillId="6" borderId="8" xfId="0" applyFont="1" applyFill="1" applyBorder="1"/>
    <xf numFmtId="0" fontId="0" fillId="10" borderId="0" xfId="0" applyFill="1"/>
    <xf numFmtId="0" fontId="2" fillId="5" borderId="0" xfId="0" applyFont="1" applyFill="1" applyAlignment="1">
      <alignment horizontal="center"/>
    </xf>
  </cellXfs>
  <cellStyles count="1">
    <cellStyle name="Normal" xfId="0" builtinId="0"/>
  </cellStyles>
  <dxfs count="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6"/>
      <tableStyleElement type="headerRow" dxfId="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825500</xdr:colOff>
      <xdr:row>9</xdr:row>
      <xdr:rowOff>114300</xdr:rowOff>
    </xdr:from>
    <xdr:to>
      <xdr:col>9</xdr:col>
      <xdr:colOff>469900</xdr:colOff>
      <xdr:row>23</xdr:row>
      <xdr:rowOff>165100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FAE6456-C1A4-D145-A739-C34E0C8FE6E0}"/>
            </a:ext>
          </a:extLst>
        </xdr:cNvPr>
        <xdr:cNvSpPr txBox="1"/>
      </xdr:nvSpPr>
      <xdr:spPr>
        <a:xfrm>
          <a:off x="4165600" y="1828800"/>
          <a:ext cx="4610100" cy="2717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o</a:t>
          </a:r>
          <a:r>
            <a:rPr lang="en-GB" sz="1100" baseline="0"/>
            <a:t> find encontra espaços ou caracteres </a:t>
          </a:r>
        </a:p>
        <a:p>
          <a:r>
            <a:rPr lang="en-GB" sz="1100" baseline="0"/>
            <a:t>a função right vai buscar os caracateres que estão à esquerda do espaço encontrado </a:t>
          </a:r>
        </a:p>
        <a:p>
          <a:endParaRPr lang="en-GB" sz="1100" baseline="0"/>
        </a:p>
        <a:p>
          <a:r>
            <a:rPr lang="en-GB" sz="1100" baseline="0"/>
            <a:t>Como buscar o 1º nome: </a:t>
          </a:r>
        </a:p>
        <a:p>
          <a:r>
            <a:rPr lang="en-GB" sz="1100" baseline="0"/>
            <a:t>parte esquerda da string, find encontra o primeiro espaço </a:t>
          </a:r>
        </a:p>
        <a:p>
          <a:r>
            <a:rPr lang="en-GB" sz="1100" baseline="0"/>
            <a:t>=LEFT(A3,FIND(" ",A3)-1)</a:t>
          </a:r>
        </a:p>
        <a:p>
          <a:endParaRPr lang="en-GB" sz="1100" baseline="0"/>
        </a:p>
        <a:p>
          <a:r>
            <a:rPr lang="en-GB" sz="1100" baseline="0"/>
            <a:t>Como buscar o último nome: </a:t>
          </a:r>
        </a:p>
        <a:p>
          <a:r>
            <a:rPr lang="en-GB" sz="1100" baseline="0"/>
            <a:t>1º-usar a função susbtitute e vamos retirar os espaços e substituir por um caracter especial</a:t>
          </a:r>
        </a:p>
        <a:p>
          <a:r>
            <a:rPr lang="en-GB" sz="1100" baseline="0"/>
            <a:t>2ºcalcular o comprimento da string </a:t>
          </a:r>
        </a:p>
        <a:p>
          <a:endParaRPr lang="en-GB" sz="1100" baseline="0"/>
        </a:p>
        <a:p>
          <a:endParaRPr lang="en-GB" sz="1100" baseline="0"/>
        </a:p>
        <a:p>
          <a:endParaRPr lang="en-GB" sz="1100" baseline="0"/>
        </a:p>
        <a:p>
          <a:endParaRPr lang="en-GB" sz="1100" baseline="0"/>
        </a:p>
        <a:p>
          <a:endParaRPr lang="en-GB" sz="1100" baseline="0"/>
        </a:p>
        <a:p>
          <a:endParaRPr lang="en-GB" sz="1100" baseline="0"/>
        </a:p>
        <a:p>
          <a:endParaRPr lang="en-GB" sz="1100" baseline="0"/>
        </a:p>
        <a:p>
          <a:endParaRPr lang="en-GB" sz="1100" baseline="0"/>
        </a:p>
        <a:p>
          <a:endParaRPr lang="en-GB" sz="1100" baseline="0"/>
        </a:p>
        <a:p>
          <a:endParaRPr lang="en-GB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17</xdr:row>
      <xdr:rowOff>0</xdr:rowOff>
    </xdr:from>
    <xdr:to>
      <xdr:col>4</xdr:col>
      <xdr:colOff>495300</xdr:colOff>
      <xdr:row>26</xdr:row>
      <xdr:rowOff>63500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BC66AB1B-47E2-234A-A8F9-21ABCCAE60A9}"/>
            </a:ext>
          </a:extLst>
        </xdr:cNvPr>
        <xdr:cNvSpPr txBox="1"/>
      </xdr:nvSpPr>
      <xdr:spPr>
        <a:xfrm>
          <a:off x="673100" y="3238500"/>
          <a:ext cx="2590800" cy="1778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Cria</a:t>
          </a:r>
          <a:r>
            <a:rPr lang="en-GB" sz="1100" baseline="0"/>
            <a:t> vários tipos de cenários alterando os valores das percentagens, clicando em what if analysis e acrecentado um novo cenário </a:t>
          </a:r>
        </a:p>
        <a:p>
          <a:endParaRPr lang="en-GB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165100</xdr:colOff>
      <xdr:row>9</xdr:row>
      <xdr:rowOff>114300</xdr:rowOff>
    </xdr:from>
    <xdr:to>
      <xdr:col>14</xdr:col>
      <xdr:colOff>203200</xdr:colOff>
      <xdr:row>17</xdr:row>
      <xdr:rowOff>101600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D5A6932-2E78-344E-AAFA-D00FBD499E2F}"/>
            </a:ext>
          </a:extLst>
        </xdr:cNvPr>
        <xdr:cNvSpPr txBox="1"/>
      </xdr:nvSpPr>
      <xdr:spPr>
        <a:xfrm>
          <a:off x="6223000" y="1828800"/>
          <a:ext cx="3403600" cy="1511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Data table</a:t>
          </a:r>
          <a:r>
            <a:rPr lang="en-GB" sz="1100" baseline="0"/>
            <a:t> -&gt; necessitamos de usar uma fórmula. Após isso, podemos prever o lucro se alterarmos a percentagem do preço. P.e. 70% do stock a 50 € e 30% do stock a 20€, temos um lucro de 4100 € </a:t>
          </a:r>
          <a:endParaRPr lang="en-GB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419100</xdr:colOff>
      <xdr:row>15</xdr:row>
      <xdr:rowOff>88900</xdr:rowOff>
    </xdr:from>
    <xdr:to>
      <xdr:col>7</xdr:col>
      <xdr:colOff>12700</xdr:colOff>
      <xdr:row>19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440FA876-C29C-5A44-A725-EB4980EFBC78}"/>
            </a:ext>
          </a:extLst>
        </xdr:cNvPr>
        <xdr:cNvSpPr txBox="1"/>
      </xdr:nvSpPr>
      <xdr:spPr>
        <a:xfrm>
          <a:off x="2273300" y="2946400"/>
          <a:ext cx="2959100" cy="673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Utilizar o goal sekk, para</a:t>
          </a:r>
          <a:r>
            <a:rPr lang="en-GB" sz="1100" baseline="0"/>
            <a:t> estabelecer um objetivo, o excel acaba por encontrar um valor com base numa fórmula. </a:t>
          </a:r>
          <a:endParaRPr lang="en-GB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381000</xdr:colOff>
      <xdr:row>4</xdr:row>
      <xdr:rowOff>25400</xdr:rowOff>
    </xdr:from>
    <xdr:to>
      <xdr:col>14</xdr:col>
      <xdr:colOff>38100</xdr:colOff>
      <xdr:row>9</xdr:row>
      <xdr:rowOff>165100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D7098A5-4917-F447-BE28-6635F713D207}"/>
            </a:ext>
          </a:extLst>
        </xdr:cNvPr>
        <xdr:cNvSpPr txBox="1"/>
      </xdr:nvSpPr>
      <xdr:spPr>
        <a:xfrm>
          <a:off x="7264400" y="787400"/>
          <a:ext cx="2349500" cy="10922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É</a:t>
          </a:r>
          <a:r>
            <a:rPr lang="en-GB" sz="1100" baseline="0"/>
            <a:t> necessário definir primeiro os nomes no cabeçaho formulas. Depois, no cabeçalho data clicar em data validation e usar uma lista  e colocar =ao nome da lista criada</a:t>
          </a:r>
          <a:endParaRPr lang="en-GB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A5C7ACF-24ED-634E-9AD6-906A4FDE7143}" name="Table1" displayName="Table1" ref="B4:B10" totalsRowShown="0" headerRowDxfId="4" dataDxfId="2" headerRowBorderDxfId="3" tableBorderDxfId="1">
  <autoFilter ref="B4:B10" xr:uid="{B21EE6C1-3FC9-4042-84CC-2F357B47779B}"/>
  <tableColumns count="1">
    <tableColumn id="1" xr3:uid="{FA3E662F-54CD-3643-85E6-ECFF29019635}" name="notas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C7:C10" totalsRowShown="0">
  <autoFilter ref="C7:C10" xr:uid="{00000000-0009-0000-0100-000002000000}"/>
  <tableColumns count="1">
    <tableColumn id="1" xr3:uid="{00000000-0010-0000-0000-000001000000}" name="Paíse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le3" displayName="Table3" ref="F7:H10" totalsRowShown="0">
  <autoFilter ref="F7:H10" xr:uid="{00000000-0009-0000-0100-000003000000}"/>
  <tableColumns count="3">
    <tableColumn id="1" xr3:uid="{00000000-0010-0000-0100-000001000000}" name="Portugal"/>
    <tableColumn id="2" xr3:uid="{00000000-0010-0000-0100-000002000000}" name="Espanha"/>
    <tableColumn id="3" xr3:uid="{00000000-0010-0000-0100-000003000000}" name="Franç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C3:C43"/>
  <sheetViews>
    <sheetView workbookViewId="0">
      <selection activeCell="C20" sqref="C20"/>
    </sheetView>
  </sheetViews>
  <sheetFormatPr baseColWidth="10" defaultColWidth="8.83203125" defaultRowHeight="15" x14ac:dyDescent="0.2"/>
  <cols>
    <col min="3" max="3" width="62" customWidth="1"/>
  </cols>
  <sheetData>
    <row r="3" spans="3:3" ht="17" x14ac:dyDescent="0.2">
      <c r="C3" s="6" t="s">
        <v>4</v>
      </c>
    </row>
    <row r="4" spans="3:3" ht="17" x14ac:dyDescent="0.2">
      <c r="C4" s="6" t="s">
        <v>5</v>
      </c>
    </row>
    <row r="5" spans="3:3" ht="17" x14ac:dyDescent="0.2">
      <c r="C5" s="6" t="s">
        <v>6</v>
      </c>
    </row>
    <row r="6" spans="3:3" ht="17" x14ac:dyDescent="0.2">
      <c r="C6" s="6" t="s">
        <v>7</v>
      </c>
    </row>
    <row r="7" spans="3:3" ht="17" x14ac:dyDescent="0.2">
      <c r="C7" s="6" t="s">
        <v>8</v>
      </c>
    </row>
    <row r="8" spans="3:3" ht="17" x14ac:dyDescent="0.2">
      <c r="C8" s="6" t="s">
        <v>9</v>
      </c>
    </row>
    <row r="9" spans="3:3" ht="34" x14ac:dyDescent="0.2">
      <c r="C9" s="6" t="s">
        <v>10</v>
      </c>
    </row>
    <row r="10" spans="3:3" ht="17" x14ac:dyDescent="0.2">
      <c r="C10" s="6" t="s">
        <v>11</v>
      </c>
    </row>
    <row r="11" spans="3:3" ht="17" x14ac:dyDescent="0.2">
      <c r="C11" s="6" t="s">
        <v>12</v>
      </c>
    </row>
    <row r="12" spans="3:3" ht="17" x14ac:dyDescent="0.2">
      <c r="C12" s="6" t="s">
        <v>13</v>
      </c>
    </row>
    <row r="13" spans="3:3" ht="17" x14ac:dyDescent="0.2">
      <c r="C13" s="6" t="s">
        <v>14</v>
      </c>
    </row>
    <row r="14" spans="3:3" ht="17" x14ac:dyDescent="0.2">
      <c r="C14" s="6" t="s">
        <v>15</v>
      </c>
    </row>
    <row r="15" spans="3:3" ht="17" x14ac:dyDescent="0.2">
      <c r="C15" s="6" t="s">
        <v>39</v>
      </c>
    </row>
    <row r="16" spans="3:3" ht="17" x14ac:dyDescent="0.2">
      <c r="C16" s="6" t="s">
        <v>16</v>
      </c>
    </row>
    <row r="17" spans="3:3" ht="17" x14ac:dyDescent="0.2">
      <c r="C17" s="6" t="s">
        <v>17</v>
      </c>
    </row>
    <row r="18" spans="3:3" ht="17" x14ac:dyDescent="0.2">
      <c r="C18" s="6" t="s">
        <v>18</v>
      </c>
    </row>
    <row r="19" spans="3:3" ht="17" x14ac:dyDescent="0.2">
      <c r="C19" s="6" t="s">
        <v>19</v>
      </c>
    </row>
    <row r="21" spans="3:3" ht="17" x14ac:dyDescent="0.2">
      <c r="C21" s="6" t="s">
        <v>20</v>
      </c>
    </row>
    <row r="22" spans="3:3" x14ac:dyDescent="0.2">
      <c r="C22" s="5"/>
    </row>
    <row r="23" spans="3:3" ht="17" x14ac:dyDescent="0.2">
      <c r="C23" s="6" t="s">
        <v>21</v>
      </c>
    </row>
    <row r="24" spans="3:3" ht="17" x14ac:dyDescent="0.2">
      <c r="C24" s="6" t="s">
        <v>22</v>
      </c>
    </row>
    <row r="25" spans="3:3" ht="17" x14ac:dyDescent="0.2">
      <c r="C25" s="6" t="s">
        <v>23</v>
      </c>
    </row>
    <row r="26" spans="3:3" ht="17" x14ac:dyDescent="0.2">
      <c r="C26" s="6" t="s">
        <v>24</v>
      </c>
    </row>
    <row r="27" spans="3:3" ht="17" x14ac:dyDescent="0.2">
      <c r="C27" s="6" t="s">
        <v>25</v>
      </c>
    </row>
    <row r="28" spans="3:3" ht="17" x14ac:dyDescent="0.2">
      <c r="C28" s="6" t="s">
        <v>26</v>
      </c>
    </row>
    <row r="29" spans="3:3" ht="34" x14ac:dyDescent="0.2">
      <c r="C29" s="6" t="s">
        <v>27</v>
      </c>
    </row>
    <row r="30" spans="3:3" ht="17" x14ac:dyDescent="0.2">
      <c r="C30" s="6" t="s">
        <v>28</v>
      </c>
    </row>
    <row r="31" spans="3:3" x14ac:dyDescent="0.2">
      <c r="C31" s="5"/>
    </row>
    <row r="32" spans="3:3" ht="17" x14ac:dyDescent="0.2">
      <c r="C32" s="6" t="s">
        <v>29</v>
      </c>
    </row>
    <row r="33" spans="3:3" ht="17" x14ac:dyDescent="0.2">
      <c r="C33" s="6" t="s">
        <v>30</v>
      </c>
    </row>
    <row r="34" spans="3:3" ht="17" x14ac:dyDescent="0.2">
      <c r="C34" s="6" t="s">
        <v>31</v>
      </c>
    </row>
    <row r="35" spans="3:3" ht="17" x14ac:dyDescent="0.2">
      <c r="C35" s="6" t="s">
        <v>32</v>
      </c>
    </row>
    <row r="36" spans="3:3" x14ac:dyDescent="0.2">
      <c r="C36" s="5"/>
    </row>
    <row r="37" spans="3:3" ht="17" x14ac:dyDescent="0.2">
      <c r="C37" s="6" t="s">
        <v>33</v>
      </c>
    </row>
    <row r="38" spans="3:3" ht="17" x14ac:dyDescent="0.2">
      <c r="C38" s="6" t="s">
        <v>34</v>
      </c>
    </row>
    <row r="39" spans="3:3" ht="17" x14ac:dyDescent="0.2">
      <c r="C39" s="6" t="s">
        <v>35</v>
      </c>
    </row>
    <row r="40" spans="3:3" x14ac:dyDescent="0.2">
      <c r="C40" s="5"/>
    </row>
    <row r="41" spans="3:3" ht="17" x14ac:dyDescent="0.2">
      <c r="C41" s="6" t="s">
        <v>36</v>
      </c>
    </row>
    <row r="42" spans="3:3" ht="17" x14ac:dyDescent="0.2">
      <c r="C42" s="6" t="s">
        <v>37</v>
      </c>
    </row>
    <row r="43" spans="3:3" ht="17" x14ac:dyDescent="0.2">
      <c r="C43" s="6" t="s">
        <v>38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2:H24"/>
  <sheetViews>
    <sheetView showGridLines="0" workbookViewId="0">
      <selection activeCell="C19" sqref="C19"/>
    </sheetView>
  </sheetViews>
  <sheetFormatPr baseColWidth="10" defaultColWidth="8.83203125" defaultRowHeight="15" x14ac:dyDescent="0.2"/>
  <cols>
    <col min="3" max="3" width="10.1640625" bestFit="1" customWidth="1"/>
  </cols>
  <sheetData>
    <row r="2" spans="3:8" x14ac:dyDescent="0.2">
      <c r="C2" t="s">
        <v>40</v>
      </c>
      <c r="D2" t="s">
        <v>46</v>
      </c>
    </row>
    <row r="4" spans="3:8" x14ac:dyDescent="0.2">
      <c r="C4" s="2"/>
      <c r="D4" s="9">
        <v>1</v>
      </c>
      <c r="E4" s="9">
        <v>2</v>
      </c>
      <c r="F4" s="9">
        <v>3</v>
      </c>
      <c r="G4" s="9">
        <v>4</v>
      </c>
      <c r="H4" s="9">
        <v>5</v>
      </c>
    </row>
    <row r="5" spans="3:8" x14ac:dyDescent="0.2">
      <c r="C5" s="10">
        <v>1</v>
      </c>
      <c r="D5" s="1">
        <f t="shared" ref="D5:H9" si="0">SUM(D$4,$C5)</f>
        <v>2</v>
      </c>
      <c r="E5" s="1">
        <f t="shared" si="0"/>
        <v>3</v>
      </c>
      <c r="F5" s="1">
        <f t="shared" si="0"/>
        <v>4</v>
      </c>
      <c r="G5" s="1">
        <f t="shared" si="0"/>
        <v>5</v>
      </c>
      <c r="H5" s="1">
        <f t="shared" si="0"/>
        <v>6</v>
      </c>
    </row>
    <row r="6" spans="3:8" x14ac:dyDescent="0.2">
      <c r="C6" s="10">
        <v>2</v>
      </c>
      <c r="D6" s="1">
        <f t="shared" si="0"/>
        <v>3</v>
      </c>
      <c r="E6" s="1">
        <f t="shared" si="0"/>
        <v>4</v>
      </c>
      <c r="F6" s="1">
        <f t="shared" si="0"/>
        <v>5</v>
      </c>
      <c r="G6" s="1">
        <f t="shared" si="0"/>
        <v>6</v>
      </c>
      <c r="H6" s="1">
        <f t="shared" si="0"/>
        <v>7</v>
      </c>
    </row>
    <row r="7" spans="3:8" x14ac:dyDescent="0.2">
      <c r="C7" s="10">
        <v>3</v>
      </c>
      <c r="D7" s="1">
        <f t="shared" si="0"/>
        <v>4</v>
      </c>
      <c r="E7" s="1">
        <f t="shared" si="0"/>
        <v>5</v>
      </c>
      <c r="F7" s="1">
        <f t="shared" si="0"/>
        <v>6</v>
      </c>
      <c r="G7" s="1">
        <f t="shared" si="0"/>
        <v>7</v>
      </c>
      <c r="H7" s="1">
        <f t="shared" si="0"/>
        <v>8</v>
      </c>
    </row>
    <row r="8" spans="3:8" x14ac:dyDescent="0.2">
      <c r="C8" s="10">
        <v>4</v>
      </c>
      <c r="D8" s="1">
        <f t="shared" si="0"/>
        <v>5</v>
      </c>
      <c r="E8" s="1">
        <f t="shared" si="0"/>
        <v>6</v>
      </c>
      <c r="F8" s="1">
        <f t="shared" si="0"/>
        <v>7</v>
      </c>
      <c r="G8" s="1">
        <f t="shared" si="0"/>
        <v>8</v>
      </c>
      <c r="H8" s="1">
        <f t="shared" si="0"/>
        <v>9</v>
      </c>
    </row>
    <row r="9" spans="3:8" x14ac:dyDescent="0.2">
      <c r="C9" s="10">
        <v>5</v>
      </c>
      <c r="D9" s="1">
        <f>SUM(D$4,$C9)</f>
        <v>6</v>
      </c>
      <c r="E9" s="1">
        <f t="shared" si="0"/>
        <v>7</v>
      </c>
      <c r="F9" s="1">
        <f t="shared" si="0"/>
        <v>8</v>
      </c>
      <c r="G9" s="1">
        <f t="shared" si="0"/>
        <v>9</v>
      </c>
      <c r="H9" s="1">
        <f t="shared" si="0"/>
        <v>10</v>
      </c>
    </row>
    <row r="11" spans="3:8" x14ac:dyDescent="0.2">
      <c r="C11" t="s">
        <v>41</v>
      </c>
      <c r="D11" t="s">
        <v>45</v>
      </c>
    </row>
    <row r="13" spans="3:8" x14ac:dyDescent="0.2">
      <c r="C13" t="s">
        <v>42</v>
      </c>
      <c r="D13" t="s">
        <v>0</v>
      </c>
    </row>
    <row r="15" spans="3:8" x14ac:dyDescent="0.2">
      <c r="C15" t="s">
        <v>43</v>
      </c>
      <c r="D15" t="s">
        <v>1</v>
      </c>
    </row>
    <row r="17" spans="2:8" x14ac:dyDescent="0.2">
      <c r="C17" t="s">
        <v>44</v>
      </c>
      <c r="D17" t="s">
        <v>2</v>
      </c>
    </row>
    <row r="18" spans="2:8" ht="16" thickBot="1" x14ac:dyDescent="0.25"/>
    <row r="19" spans="2:8" ht="16" thickBot="1" x14ac:dyDescent="0.25">
      <c r="B19" s="4" t="s">
        <v>3</v>
      </c>
      <c r="C19" s="7" t="s">
        <v>136</v>
      </c>
      <c r="D19" s="8">
        <v>1</v>
      </c>
      <c r="E19" s="9">
        <v>2</v>
      </c>
      <c r="F19" s="9">
        <v>3</v>
      </c>
      <c r="G19" s="9">
        <v>4</v>
      </c>
      <c r="H19" s="9">
        <v>5</v>
      </c>
    </row>
    <row r="20" spans="2:8" x14ac:dyDescent="0.2">
      <c r="C20" s="10">
        <v>1</v>
      </c>
      <c r="D20" s="1">
        <f>IF($C$19="+",D$19+$C20,IF($C$19="-",D$19-$C20,IF($C$19="*",D$19*$C20,IF($C$19="/",D$19/$C20))))</f>
        <v>1</v>
      </c>
      <c r="E20" s="1">
        <f t="shared" ref="E20:H20" si="1">IF($C$19="+",E$19+$C20,IF($C$19="-",E$19-$C20,IF($C$19="*",E$19*$C20,IF($C$19="/",E$19/$C20))))</f>
        <v>2</v>
      </c>
      <c r="F20" s="1">
        <f t="shared" si="1"/>
        <v>3</v>
      </c>
      <c r="G20" s="1">
        <f t="shared" si="1"/>
        <v>4</v>
      </c>
      <c r="H20" s="1">
        <f t="shared" si="1"/>
        <v>5</v>
      </c>
    </row>
    <row r="21" spans="2:8" x14ac:dyDescent="0.2">
      <c r="C21" s="10">
        <v>2</v>
      </c>
      <c r="D21" s="1">
        <f t="shared" ref="D21:H24" si="2">IF($C$19="+",D$19+$C21,IF($C$19="-",D$19-$C21,IF($C$19="*",D$19*$C21,IF($C$19="/",D$19/$C21))))</f>
        <v>2</v>
      </c>
      <c r="E21" s="1">
        <f t="shared" si="2"/>
        <v>4</v>
      </c>
      <c r="F21" s="1">
        <f t="shared" si="2"/>
        <v>6</v>
      </c>
      <c r="G21" s="1">
        <f t="shared" si="2"/>
        <v>8</v>
      </c>
      <c r="H21" s="1">
        <f t="shared" si="2"/>
        <v>10</v>
      </c>
    </row>
    <row r="22" spans="2:8" x14ac:dyDescent="0.2">
      <c r="C22" s="10">
        <v>3</v>
      </c>
      <c r="D22" s="1">
        <f t="shared" si="2"/>
        <v>3</v>
      </c>
      <c r="E22" s="1">
        <f t="shared" si="2"/>
        <v>6</v>
      </c>
      <c r="F22" s="1">
        <f t="shared" si="2"/>
        <v>9</v>
      </c>
      <c r="G22" s="1">
        <f t="shared" si="2"/>
        <v>12</v>
      </c>
      <c r="H22" s="1">
        <f t="shared" si="2"/>
        <v>15</v>
      </c>
    </row>
    <row r="23" spans="2:8" x14ac:dyDescent="0.2">
      <c r="C23" s="10">
        <v>4</v>
      </c>
      <c r="D23" s="1">
        <f t="shared" si="2"/>
        <v>4</v>
      </c>
      <c r="E23" s="1">
        <f t="shared" si="2"/>
        <v>8</v>
      </c>
      <c r="F23" s="1">
        <f t="shared" si="2"/>
        <v>12</v>
      </c>
      <c r="G23" s="1">
        <f t="shared" si="2"/>
        <v>16</v>
      </c>
      <c r="H23" s="1">
        <f t="shared" si="2"/>
        <v>20</v>
      </c>
    </row>
    <row r="24" spans="2:8" x14ac:dyDescent="0.2">
      <c r="C24" s="10">
        <v>5</v>
      </c>
      <c r="D24" s="1">
        <f t="shared" si="2"/>
        <v>5</v>
      </c>
      <c r="E24" s="1">
        <f t="shared" si="2"/>
        <v>10</v>
      </c>
      <c r="F24" s="1">
        <f t="shared" si="2"/>
        <v>15</v>
      </c>
      <c r="G24" s="1">
        <f t="shared" si="2"/>
        <v>20</v>
      </c>
      <c r="H24" s="1">
        <f t="shared" si="2"/>
        <v>25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L29"/>
  <sheetViews>
    <sheetView workbookViewId="0">
      <selection activeCell="N17" sqref="N17"/>
    </sheetView>
  </sheetViews>
  <sheetFormatPr baseColWidth="10" defaultColWidth="8.83203125" defaultRowHeight="15" x14ac:dyDescent="0.2"/>
  <sheetData>
    <row r="1" spans="1:12" x14ac:dyDescent="0.2">
      <c r="A1" s="3" t="s">
        <v>47</v>
      </c>
      <c r="B1" s="3" t="s">
        <v>48</v>
      </c>
      <c r="C1" s="3" t="s">
        <v>49</v>
      </c>
      <c r="D1" s="3" t="s">
        <v>50</v>
      </c>
      <c r="E1" s="3" t="s">
        <v>51</v>
      </c>
    </row>
    <row r="2" spans="1:12" x14ac:dyDescent="0.2">
      <c r="A2" t="s">
        <v>52</v>
      </c>
      <c r="B2" t="s">
        <v>53</v>
      </c>
      <c r="C2">
        <v>1000</v>
      </c>
      <c r="D2">
        <v>10</v>
      </c>
      <c r="E2">
        <v>5</v>
      </c>
    </row>
    <row r="3" spans="1:12" x14ac:dyDescent="0.2">
      <c r="A3" t="s">
        <v>54</v>
      </c>
      <c r="B3" t="s">
        <v>55</v>
      </c>
      <c r="C3">
        <v>1000</v>
      </c>
      <c r="D3">
        <v>10</v>
      </c>
      <c r="E3">
        <v>5</v>
      </c>
    </row>
    <row r="4" spans="1:12" x14ac:dyDescent="0.2">
      <c r="A4" t="s">
        <v>56</v>
      </c>
      <c r="B4" t="s">
        <v>57</v>
      </c>
      <c r="C4">
        <v>4000</v>
      </c>
      <c r="D4">
        <v>40</v>
      </c>
      <c r="E4">
        <v>20</v>
      </c>
      <c r="H4" s="3" t="s">
        <v>47</v>
      </c>
      <c r="I4" s="3" t="s">
        <v>48</v>
      </c>
      <c r="J4" s="3" t="s">
        <v>49</v>
      </c>
      <c r="K4" s="3" t="s">
        <v>50</v>
      </c>
      <c r="L4" s="3" t="s">
        <v>51</v>
      </c>
    </row>
    <row r="5" spans="1:12" x14ac:dyDescent="0.2">
      <c r="A5" t="s">
        <v>58</v>
      </c>
      <c r="B5" t="s">
        <v>59</v>
      </c>
      <c r="C5">
        <v>3000</v>
      </c>
      <c r="D5">
        <v>30</v>
      </c>
      <c r="E5">
        <v>15</v>
      </c>
      <c r="H5" t="s">
        <v>54</v>
      </c>
    </row>
    <row r="6" spans="1:12" x14ac:dyDescent="0.2">
      <c r="A6" t="s">
        <v>60</v>
      </c>
      <c r="B6" t="s">
        <v>53</v>
      </c>
      <c r="C6">
        <v>1000</v>
      </c>
      <c r="D6">
        <v>10</v>
      </c>
      <c r="E6">
        <v>5</v>
      </c>
      <c r="I6" t="s">
        <v>57</v>
      </c>
      <c r="J6" t="s">
        <v>140</v>
      </c>
    </row>
    <row r="7" spans="1:12" x14ac:dyDescent="0.2">
      <c r="A7" t="s">
        <v>61</v>
      </c>
      <c r="B7" t="s">
        <v>62</v>
      </c>
      <c r="C7">
        <v>3000</v>
      </c>
      <c r="D7">
        <v>30</v>
      </c>
      <c r="E7">
        <v>15</v>
      </c>
      <c r="K7">
        <v>33</v>
      </c>
    </row>
    <row r="8" spans="1:12" x14ac:dyDescent="0.2">
      <c r="A8" t="s">
        <v>63</v>
      </c>
      <c r="B8" t="s">
        <v>64</v>
      </c>
      <c r="C8">
        <v>2000</v>
      </c>
      <c r="D8">
        <v>20</v>
      </c>
      <c r="E8">
        <v>10</v>
      </c>
    </row>
    <row r="9" spans="1:12" x14ac:dyDescent="0.2">
      <c r="A9" t="s">
        <v>54</v>
      </c>
      <c r="B9" t="s">
        <v>62</v>
      </c>
      <c r="C9">
        <v>1500</v>
      </c>
      <c r="D9">
        <v>13</v>
      </c>
      <c r="E9">
        <v>3</v>
      </c>
    </row>
    <row r="10" spans="1:12" x14ac:dyDescent="0.2">
      <c r="A10" t="s">
        <v>65</v>
      </c>
      <c r="B10" t="s">
        <v>57</v>
      </c>
      <c r="C10">
        <v>2000</v>
      </c>
      <c r="D10">
        <v>20</v>
      </c>
      <c r="E10">
        <v>10</v>
      </c>
    </row>
    <row r="11" spans="1:12" x14ac:dyDescent="0.2">
      <c r="A11" t="s">
        <v>66</v>
      </c>
      <c r="B11" t="s">
        <v>57</v>
      </c>
      <c r="C11">
        <v>2000</v>
      </c>
      <c r="D11">
        <v>20</v>
      </c>
      <c r="E11">
        <v>10</v>
      </c>
    </row>
    <row r="12" spans="1:12" x14ac:dyDescent="0.2">
      <c r="A12" t="s">
        <v>67</v>
      </c>
      <c r="B12" t="s">
        <v>57</v>
      </c>
      <c r="C12">
        <v>4000</v>
      </c>
      <c r="D12">
        <v>40</v>
      </c>
      <c r="E12">
        <v>20</v>
      </c>
    </row>
    <row r="13" spans="1:12" x14ac:dyDescent="0.2">
      <c r="A13" t="s">
        <v>68</v>
      </c>
      <c r="B13" t="s">
        <v>55</v>
      </c>
      <c r="C13">
        <v>2000</v>
      </c>
      <c r="D13">
        <v>20</v>
      </c>
      <c r="E13">
        <v>10</v>
      </c>
    </row>
    <row r="14" spans="1:12" x14ac:dyDescent="0.2">
      <c r="A14" t="s">
        <v>69</v>
      </c>
      <c r="B14" t="s">
        <v>70</v>
      </c>
      <c r="C14">
        <v>200</v>
      </c>
      <c r="D14">
        <v>20</v>
      </c>
      <c r="E14">
        <v>10</v>
      </c>
    </row>
    <row r="15" spans="1:12" x14ac:dyDescent="0.2">
      <c r="A15" t="s">
        <v>71</v>
      </c>
      <c r="B15" t="s">
        <v>64</v>
      </c>
      <c r="C15">
        <v>2000</v>
      </c>
      <c r="D15">
        <v>20</v>
      </c>
      <c r="E15">
        <v>10</v>
      </c>
    </row>
    <row r="16" spans="1:12" x14ac:dyDescent="0.2">
      <c r="A16" t="s">
        <v>72</v>
      </c>
      <c r="B16" t="s">
        <v>59</v>
      </c>
      <c r="C16">
        <v>3000</v>
      </c>
      <c r="D16">
        <v>30</v>
      </c>
      <c r="E16">
        <v>15</v>
      </c>
    </row>
    <row r="17" spans="1:12" x14ac:dyDescent="0.2">
      <c r="A17" t="s">
        <v>73</v>
      </c>
      <c r="B17" t="s">
        <v>62</v>
      </c>
      <c r="C17">
        <v>3000</v>
      </c>
      <c r="D17">
        <v>30</v>
      </c>
      <c r="E17">
        <v>15</v>
      </c>
    </row>
    <row r="18" spans="1:12" x14ac:dyDescent="0.2">
      <c r="B18" t="s">
        <v>137</v>
      </c>
      <c r="C18">
        <f>SUBTOTAL(9,C2:C17)</f>
        <v>34700</v>
      </c>
    </row>
    <row r="21" spans="1:12" x14ac:dyDescent="0.2">
      <c r="E21" t="s">
        <v>138</v>
      </c>
    </row>
    <row r="24" spans="1:12" x14ac:dyDescent="0.2">
      <c r="H24" t="s">
        <v>139</v>
      </c>
    </row>
    <row r="25" spans="1:12" x14ac:dyDescent="0.2">
      <c r="H25" s="3" t="s">
        <v>47</v>
      </c>
      <c r="I25" s="3" t="s">
        <v>48</v>
      </c>
      <c r="J25" s="3" t="s">
        <v>49</v>
      </c>
      <c r="K25" s="3" t="s">
        <v>50</v>
      </c>
      <c r="L25" s="3" t="s">
        <v>51</v>
      </c>
    </row>
    <row r="26" spans="1:12" x14ac:dyDescent="0.2">
      <c r="H26" t="s">
        <v>54</v>
      </c>
      <c r="I26" t="s">
        <v>55</v>
      </c>
      <c r="J26">
        <v>1000</v>
      </c>
      <c r="K26">
        <v>10</v>
      </c>
      <c r="L26">
        <v>5</v>
      </c>
    </row>
    <row r="27" spans="1:12" x14ac:dyDescent="0.2">
      <c r="H27" t="s">
        <v>56</v>
      </c>
      <c r="I27" t="s">
        <v>57</v>
      </c>
      <c r="J27">
        <v>4000</v>
      </c>
      <c r="K27">
        <v>40</v>
      </c>
      <c r="L27">
        <v>20</v>
      </c>
    </row>
    <row r="28" spans="1:12" x14ac:dyDescent="0.2">
      <c r="H28" t="s">
        <v>54</v>
      </c>
      <c r="I28" t="s">
        <v>62</v>
      </c>
      <c r="J28">
        <v>1500</v>
      </c>
      <c r="K28">
        <v>13</v>
      </c>
      <c r="L28">
        <v>3</v>
      </c>
    </row>
    <row r="29" spans="1:12" x14ac:dyDescent="0.2">
      <c r="H29" t="s">
        <v>67</v>
      </c>
      <c r="I29" t="s">
        <v>57</v>
      </c>
      <c r="J29">
        <v>4000</v>
      </c>
      <c r="K29">
        <v>40</v>
      </c>
      <c r="L29">
        <v>20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F8"/>
  <sheetViews>
    <sheetView tabSelected="1" workbookViewId="0">
      <selection activeCell="M15" sqref="M15"/>
    </sheetView>
  </sheetViews>
  <sheetFormatPr baseColWidth="10" defaultColWidth="8.83203125" defaultRowHeight="15" x14ac:dyDescent="0.2"/>
  <cols>
    <col min="1" max="1" width="21.6640625" bestFit="1" customWidth="1"/>
    <col min="2" max="2" width="13.33203125" bestFit="1" customWidth="1"/>
    <col min="4" max="4" width="20.83203125" bestFit="1" customWidth="1"/>
    <col min="5" max="5" width="9" bestFit="1" customWidth="1"/>
  </cols>
  <sheetData>
    <row r="1" spans="1:6" x14ac:dyDescent="0.2">
      <c r="A1" t="s">
        <v>101</v>
      </c>
      <c r="B1" t="s">
        <v>174</v>
      </c>
      <c r="C1" t="s">
        <v>102</v>
      </c>
      <c r="D1" t="s">
        <v>175</v>
      </c>
      <c r="E1" t="s">
        <v>144</v>
      </c>
      <c r="F1" t="s">
        <v>145</v>
      </c>
    </row>
    <row r="2" spans="1:6" x14ac:dyDescent="0.2">
      <c r="A2" t="s">
        <v>89</v>
      </c>
      <c r="B2" t="s">
        <v>143</v>
      </c>
      <c r="C2" t="s">
        <v>142</v>
      </c>
      <c r="D2">
        <f>FIND(" ",A2)</f>
        <v>6</v>
      </c>
      <c r="E2" t="str">
        <f>LEFT(A2,FIND(" ",A2)-1)</f>
        <v>Maria</v>
      </c>
      <c r="F2" t="str">
        <f>RIGHT(A2,LEN(A2)+1)</f>
        <v>Maria João Lopes</v>
      </c>
    </row>
    <row r="3" spans="1:6" x14ac:dyDescent="0.2">
      <c r="A3" t="s">
        <v>90</v>
      </c>
      <c r="B3" t="s">
        <v>141</v>
      </c>
      <c r="C3" t="s">
        <v>96</v>
      </c>
      <c r="E3" t="str">
        <f>LEFT(A3,FIND(" ",A3)-1)</f>
        <v>João</v>
      </c>
      <c r="F3" t="str">
        <f t="shared" ref="F3:F8" si="0">RIGHT(A3,LEN(A3)+1)</f>
        <v xml:space="preserve">João Ribeiro </v>
      </c>
    </row>
    <row r="4" spans="1:6" x14ac:dyDescent="0.2">
      <c r="A4" t="s">
        <v>91</v>
      </c>
      <c r="B4" t="s">
        <v>75</v>
      </c>
      <c r="C4" t="s">
        <v>97</v>
      </c>
      <c r="E4" t="str">
        <f t="shared" ref="E3:E8" si="1">LEFT(A4,FIND(" ",A4)-1)</f>
        <v>Manuel</v>
      </c>
      <c r="F4" t="str">
        <f t="shared" si="0"/>
        <v>Manuel Alves dos Santos</v>
      </c>
    </row>
    <row r="5" spans="1:6" x14ac:dyDescent="0.2">
      <c r="A5" t="s">
        <v>92</v>
      </c>
      <c r="B5" t="s">
        <v>76</v>
      </c>
      <c r="C5" t="s">
        <v>98</v>
      </c>
      <c r="E5" t="str">
        <f t="shared" si="1"/>
        <v>Esteves</v>
      </c>
      <c r="F5" t="str">
        <f t="shared" si="0"/>
        <v>Esteves Peixoto</v>
      </c>
    </row>
    <row r="6" spans="1:6" x14ac:dyDescent="0.2">
      <c r="A6" t="s">
        <v>93</v>
      </c>
      <c r="B6" t="s">
        <v>77</v>
      </c>
      <c r="C6" t="s">
        <v>99</v>
      </c>
      <c r="E6" t="str">
        <f t="shared" si="1"/>
        <v>Francisco</v>
      </c>
      <c r="F6" t="str">
        <f t="shared" si="0"/>
        <v>Francisco Bem-Haja</v>
      </c>
    </row>
    <row r="7" spans="1:6" x14ac:dyDescent="0.2">
      <c r="A7" t="s">
        <v>94</v>
      </c>
      <c r="B7" t="s">
        <v>69</v>
      </c>
      <c r="C7" t="s">
        <v>96</v>
      </c>
      <c r="E7" t="str">
        <f t="shared" si="1"/>
        <v>Maria</v>
      </c>
      <c r="F7" t="str">
        <f t="shared" si="0"/>
        <v>Maria José Ribeiro</v>
      </c>
    </row>
    <row r="8" spans="1:6" x14ac:dyDescent="0.2">
      <c r="A8" t="s">
        <v>95</v>
      </c>
      <c r="B8" t="s">
        <v>74</v>
      </c>
      <c r="C8" t="s">
        <v>100</v>
      </c>
      <c r="E8" t="str">
        <f t="shared" si="1"/>
        <v>Joao</v>
      </c>
      <c r="F8" t="str">
        <f t="shared" si="0"/>
        <v>Joao Lopes Cardoso</v>
      </c>
    </row>
  </sheetData>
  <dataConsolidate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2C8043-28B3-2042-8C22-822FA0BA61F3}">
  <sheetPr>
    <outlinePr summaryBelow="0"/>
  </sheetPr>
  <dimension ref="B1:F24"/>
  <sheetViews>
    <sheetView showGridLines="0" workbookViewId="0">
      <selection activeCell="C6" sqref="C6:C8"/>
    </sheetView>
  </sheetViews>
  <sheetFormatPr baseColWidth="10" defaultRowHeight="15" outlineLevelRow="1" outlineLevelCol="1" x14ac:dyDescent="0.2"/>
  <cols>
    <col min="3" max="3" width="10.5" customWidth="1"/>
    <col min="4" max="6" width="11.33203125" bestFit="1" customWidth="1" outlineLevel="1"/>
  </cols>
  <sheetData>
    <row r="1" spans="2:6" ht="16" thickBot="1" x14ac:dyDescent="0.25"/>
    <row r="2" spans="2:6" ht="16" x14ac:dyDescent="0.2">
      <c r="B2" s="20" t="s">
        <v>161</v>
      </c>
      <c r="C2" s="20"/>
      <c r="D2" s="25"/>
      <c r="E2" s="25"/>
      <c r="F2" s="25"/>
    </row>
    <row r="3" spans="2:6" ht="16" collapsed="1" x14ac:dyDescent="0.2">
      <c r="B3" s="19"/>
      <c r="C3" s="19"/>
      <c r="D3" s="26" t="s">
        <v>163</v>
      </c>
      <c r="E3" s="26" t="s">
        <v>158</v>
      </c>
      <c r="F3" s="26" t="s">
        <v>160</v>
      </c>
    </row>
    <row r="4" spans="2:6" ht="48" hidden="1" outlineLevel="1" x14ac:dyDescent="0.2">
      <c r="B4" s="22"/>
      <c r="C4" s="22"/>
      <c r="D4" s="16"/>
      <c r="E4" s="28" t="s">
        <v>159</v>
      </c>
      <c r="F4" s="28" t="s">
        <v>159</v>
      </c>
    </row>
    <row r="5" spans="2:6" x14ac:dyDescent="0.2">
      <c r="B5" s="23" t="s">
        <v>162</v>
      </c>
      <c r="C5" s="23"/>
      <c r="D5" s="21"/>
      <c r="E5" s="21"/>
      <c r="F5" s="21"/>
    </row>
    <row r="6" spans="2:6" outlineLevel="1" x14ac:dyDescent="0.2">
      <c r="B6" s="22"/>
      <c r="C6" s="22" t="s">
        <v>105</v>
      </c>
      <c r="D6" s="17">
        <v>0.05</v>
      </c>
      <c r="E6" s="27">
        <v>0.05</v>
      </c>
      <c r="F6" s="27">
        <v>0.01</v>
      </c>
    </row>
    <row r="7" spans="2:6" outlineLevel="1" x14ac:dyDescent="0.2">
      <c r="B7" s="22"/>
      <c r="C7" s="22" t="s">
        <v>106</v>
      </c>
      <c r="D7" s="17">
        <v>0.1</v>
      </c>
      <c r="E7" s="27">
        <v>0.1</v>
      </c>
      <c r="F7" s="27">
        <v>0.05</v>
      </c>
    </row>
    <row r="8" spans="2:6" outlineLevel="1" x14ac:dyDescent="0.2">
      <c r="B8" s="22"/>
      <c r="C8" s="22" t="s">
        <v>107</v>
      </c>
      <c r="D8" s="17">
        <v>0.06</v>
      </c>
      <c r="E8" s="27">
        <v>0.06</v>
      </c>
      <c r="F8" s="27">
        <v>0.03</v>
      </c>
    </row>
    <row r="9" spans="2:6" x14ac:dyDescent="0.2">
      <c r="B9" s="23" t="s">
        <v>164</v>
      </c>
      <c r="C9" s="23"/>
      <c r="D9" s="21"/>
      <c r="E9" s="21"/>
      <c r="F9" s="21"/>
    </row>
    <row r="10" spans="2:6" outlineLevel="1" x14ac:dyDescent="0.2">
      <c r="B10" s="22"/>
      <c r="C10" s="22" t="s">
        <v>146</v>
      </c>
      <c r="D10" s="16">
        <v>14.7</v>
      </c>
      <c r="E10" s="16">
        <v>14.7</v>
      </c>
      <c r="F10" s="16">
        <v>14.14</v>
      </c>
    </row>
    <row r="11" spans="2:6" outlineLevel="1" x14ac:dyDescent="0.2">
      <c r="B11" s="22"/>
      <c r="C11" s="22" t="s">
        <v>147</v>
      </c>
      <c r="D11" s="16">
        <v>13.65</v>
      </c>
      <c r="E11" s="16">
        <v>13.65</v>
      </c>
      <c r="F11" s="16">
        <v>13.13</v>
      </c>
    </row>
    <row r="12" spans="2:6" outlineLevel="1" x14ac:dyDescent="0.2">
      <c r="B12" s="22"/>
      <c r="C12" s="22" t="s">
        <v>148</v>
      </c>
      <c r="D12" s="16">
        <v>15.75</v>
      </c>
      <c r="E12" s="16">
        <v>15.75</v>
      </c>
      <c r="F12" s="16">
        <v>15.15</v>
      </c>
    </row>
    <row r="13" spans="2:6" outlineLevel="1" x14ac:dyDescent="0.2">
      <c r="B13" s="22"/>
      <c r="C13" s="22" t="s">
        <v>149</v>
      </c>
      <c r="D13" s="16">
        <v>17.850000000000001</v>
      </c>
      <c r="E13" s="16">
        <v>17.850000000000001</v>
      </c>
      <c r="F13" s="16">
        <v>17.170000000000002</v>
      </c>
    </row>
    <row r="14" spans="2:6" outlineLevel="1" x14ac:dyDescent="0.2">
      <c r="B14" s="22"/>
      <c r="C14" s="22" t="s">
        <v>150</v>
      </c>
      <c r="D14" s="16">
        <v>17.600000000000001</v>
      </c>
      <c r="E14" s="16">
        <v>17.600000000000001</v>
      </c>
      <c r="F14" s="16">
        <v>16.8</v>
      </c>
    </row>
    <row r="15" spans="2:6" outlineLevel="1" x14ac:dyDescent="0.2">
      <c r="B15" s="22"/>
      <c r="C15" s="22" t="s">
        <v>151</v>
      </c>
      <c r="D15" s="16">
        <v>15.4</v>
      </c>
      <c r="E15" s="16">
        <v>15.4</v>
      </c>
      <c r="F15" s="16">
        <v>14.7</v>
      </c>
    </row>
    <row r="16" spans="2:6" outlineLevel="1" x14ac:dyDescent="0.2">
      <c r="B16" s="22"/>
      <c r="C16" s="22" t="s">
        <v>152</v>
      </c>
      <c r="D16" s="16">
        <v>15.4</v>
      </c>
      <c r="E16" s="16">
        <v>15.4</v>
      </c>
      <c r="F16" s="16">
        <v>14.7</v>
      </c>
    </row>
    <row r="17" spans="2:6" outlineLevel="1" x14ac:dyDescent="0.2">
      <c r="B17" s="22"/>
      <c r="C17" s="22" t="s">
        <v>153</v>
      </c>
      <c r="D17" s="16">
        <v>19.8</v>
      </c>
      <c r="E17" s="16">
        <v>19.8</v>
      </c>
      <c r="F17" s="16">
        <v>18.899999999999999</v>
      </c>
    </row>
    <row r="18" spans="2:6" outlineLevel="1" x14ac:dyDescent="0.2">
      <c r="B18" s="22"/>
      <c r="C18" s="22" t="s">
        <v>154</v>
      </c>
      <c r="D18" s="16">
        <v>12.72</v>
      </c>
      <c r="E18" s="16">
        <v>12.72</v>
      </c>
      <c r="F18" s="16">
        <v>12.36</v>
      </c>
    </row>
    <row r="19" spans="2:6" outlineLevel="1" x14ac:dyDescent="0.2">
      <c r="B19" s="22"/>
      <c r="C19" s="22" t="s">
        <v>155</v>
      </c>
      <c r="D19" s="16">
        <v>11.66</v>
      </c>
      <c r="E19" s="16">
        <v>11.66</v>
      </c>
      <c r="F19" s="16">
        <v>11.33</v>
      </c>
    </row>
    <row r="20" spans="2:6" outlineLevel="1" x14ac:dyDescent="0.2">
      <c r="B20" s="22"/>
      <c r="C20" s="22" t="s">
        <v>156</v>
      </c>
      <c r="D20" s="16">
        <v>13.78</v>
      </c>
      <c r="E20" s="16">
        <v>13.78</v>
      </c>
      <c r="F20" s="16">
        <v>13.39</v>
      </c>
    </row>
    <row r="21" spans="2:6" ht="16" outlineLevel="1" thickBot="1" x14ac:dyDescent="0.25">
      <c r="B21" s="24"/>
      <c r="C21" s="24" t="s">
        <v>157</v>
      </c>
      <c r="D21" s="18">
        <v>18.02</v>
      </c>
      <c r="E21" s="18">
        <v>18.02</v>
      </c>
      <c r="F21" s="18">
        <v>17.510000000000002</v>
      </c>
    </row>
    <row r="22" spans="2:6" x14ac:dyDescent="0.2">
      <c r="B22" t="s">
        <v>165</v>
      </c>
    </row>
    <row r="23" spans="2:6" x14ac:dyDescent="0.2">
      <c r="B23" t="s">
        <v>166</v>
      </c>
    </row>
    <row r="24" spans="2:6" x14ac:dyDescent="0.2">
      <c r="B24" t="s">
        <v>167</v>
      </c>
    </row>
  </sheetData>
  <phoneticPr fontId="9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K17"/>
  <sheetViews>
    <sheetView workbookViewId="0">
      <selection activeCell="H20" sqref="H20"/>
    </sheetView>
  </sheetViews>
  <sheetFormatPr baseColWidth="10" defaultColWidth="8.83203125" defaultRowHeight="15" x14ac:dyDescent="0.2"/>
  <cols>
    <col min="2" max="2" width="9.83203125" bestFit="1" customWidth="1"/>
  </cols>
  <sheetData>
    <row r="1" spans="1:11" x14ac:dyDescent="0.2">
      <c r="A1" t="s">
        <v>103</v>
      </c>
      <c r="B1" t="s">
        <v>104</v>
      </c>
    </row>
    <row r="2" spans="1:11" x14ac:dyDescent="0.2">
      <c r="A2" t="s">
        <v>105</v>
      </c>
      <c r="B2" s="11">
        <v>0.05</v>
      </c>
    </row>
    <row r="3" spans="1:11" x14ac:dyDescent="0.2">
      <c r="A3" t="s">
        <v>106</v>
      </c>
      <c r="B3" s="11">
        <v>0.1</v>
      </c>
    </row>
    <row r="4" spans="1:11" x14ac:dyDescent="0.2">
      <c r="A4" t="s">
        <v>107</v>
      </c>
      <c r="B4" s="11">
        <v>0.06</v>
      </c>
    </row>
    <row r="7" spans="1:11" x14ac:dyDescent="0.2">
      <c r="B7" s="13" t="s">
        <v>79</v>
      </c>
    </row>
    <row r="9" spans="1:11" x14ac:dyDescent="0.2">
      <c r="A9" t="s">
        <v>108</v>
      </c>
      <c r="B9" t="s">
        <v>81</v>
      </c>
      <c r="C9" t="s">
        <v>82</v>
      </c>
      <c r="D9" t="s">
        <v>83</v>
      </c>
      <c r="E9" t="s">
        <v>84</v>
      </c>
      <c r="F9" t="s">
        <v>85</v>
      </c>
    </row>
    <row r="10" spans="1:11" x14ac:dyDescent="0.2">
      <c r="A10">
        <v>2019</v>
      </c>
      <c r="B10" t="s">
        <v>105</v>
      </c>
      <c r="C10">
        <v>14</v>
      </c>
      <c r="D10">
        <v>13</v>
      </c>
      <c r="E10">
        <v>15</v>
      </c>
      <c r="F10">
        <v>17</v>
      </c>
    </row>
    <row r="11" spans="1:11" x14ac:dyDescent="0.2">
      <c r="A11">
        <v>2019</v>
      </c>
      <c r="B11" t="s">
        <v>106</v>
      </c>
      <c r="C11">
        <v>16</v>
      </c>
      <c r="D11">
        <v>14</v>
      </c>
      <c r="E11">
        <v>14</v>
      </c>
      <c r="F11">
        <v>18</v>
      </c>
    </row>
    <row r="12" spans="1:11" x14ac:dyDescent="0.2">
      <c r="A12">
        <v>2019</v>
      </c>
      <c r="B12" t="s">
        <v>107</v>
      </c>
      <c r="C12">
        <v>12</v>
      </c>
      <c r="D12">
        <v>11</v>
      </c>
      <c r="E12">
        <v>13</v>
      </c>
      <c r="F12">
        <v>17</v>
      </c>
    </row>
    <row r="13" spans="1:11" x14ac:dyDescent="0.2">
      <c r="A13">
        <v>2020</v>
      </c>
      <c r="B13" t="s">
        <v>109</v>
      </c>
      <c r="C13">
        <f>C10*(1+$B$2)</f>
        <v>14.700000000000001</v>
      </c>
      <c r="D13">
        <f t="shared" ref="D13:F13" si="0">D10*(1+$B$2)</f>
        <v>13.65</v>
      </c>
      <c r="E13">
        <f t="shared" si="0"/>
        <v>15.75</v>
      </c>
      <c r="F13">
        <f t="shared" si="0"/>
        <v>17.850000000000001</v>
      </c>
      <c r="K13" s="11"/>
    </row>
    <row r="14" spans="1:11" x14ac:dyDescent="0.2">
      <c r="A14">
        <v>2020</v>
      </c>
      <c r="B14" t="s">
        <v>110</v>
      </c>
      <c r="C14">
        <f>C11*(1+$B$3)</f>
        <v>17.600000000000001</v>
      </c>
      <c r="D14">
        <f t="shared" ref="D14:F14" si="1">D11*(1+$B$3)</f>
        <v>15.400000000000002</v>
      </c>
      <c r="E14">
        <f t="shared" si="1"/>
        <v>15.400000000000002</v>
      </c>
      <c r="F14">
        <f t="shared" si="1"/>
        <v>19.8</v>
      </c>
      <c r="K14" s="11"/>
    </row>
    <row r="15" spans="1:11" x14ac:dyDescent="0.2">
      <c r="A15">
        <v>2020</v>
      </c>
      <c r="B15" t="s">
        <v>111</v>
      </c>
      <c r="C15">
        <f>C12*(1+$B$4)</f>
        <v>12.72</v>
      </c>
      <c r="D15">
        <f t="shared" ref="D15:F15" si="2">D12*(1+$B$4)</f>
        <v>11.66</v>
      </c>
      <c r="E15">
        <f t="shared" si="2"/>
        <v>13.780000000000001</v>
      </c>
      <c r="F15">
        <f t="shared" si="2"/>
        <v>18.02</v>
      </c>
      <c r="K15" s="11"/>
    </row>
    <row r="16" spans="1:11" x14ac:dyDescent="0.2">
      <c r="K16" s="11"/>
    </row>
    <row r="17" spans="11:11" x14ac:dyDescent="0.2">
      <c r="K17" s="11"/>
    </row>
  </sheetData>
  <scenarios current="0" show="0" sqref="C13:F15">
    <scenario name="Realista" locked="1" count="3" user="Author" comment="Created by Author on 21/10/2019">
      <inputCells r="B2" val="0.05" numFmtId="9"/>
      <inputCells r="B3" val="0.1" numFmtId="9"/>
      <inputCells r="B4" val="0.06" numFmtId="9"/>
    </scenario>
    <scenario name="Pessimista" locked="1" count="3" user="Author" comment="Created by Author on 21/10/2019">
      <inputCells r="B2" val="0.01" numFmtId="9"/>
      <inputCells r="B3" val="0.05" numFmtId="9"/>
      <inputCells r="B4" val="0.03" numFmtId="9"/>
    </scenario>
  </scenarios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2:H25"/>
  <sheetViews>
    <sheetView workbookViewId="0">
      <selection activeCell="J24" sqref="J24"/>
    </sheetView>
  </sheetViews>
  <sheetFormatPr baseColWidth="10" defaultColWidth="8.83203125" defaultRowHeight="15" x14ac:dyDescent="0.2"/>
  <sheetData>
    <row r="2" spans="2:5" x14ac:dyDescent="0.2">
      <c r="B2" s="13" t="s">
        <v>78</v>
      </c>
    </row>
    <row r="4" spans="2:5" x14ac:dyDescent="0.2">
      <c r="B4" t="s">
        <v>80</v>
      </c>
      <c r="C4">
        <v>100</v>
      </c>
      <c r="D4" s="11"/>
    </row>
    <row r="6" spans="2:5" x14ac:dyDescent="0.2">
      <c r="E6" t="s">
        <v>86</v>
      </c>
    </row>
    <row r="7" spans="2:5" x14ac:dyDescent="0.2">
      <c r="C7" t="s">
        <v>87</v>
      </c>
      <c r="D7" s="12">
        <v>0.6</v>
      </c>
      <c r="E7">
        <v>50</v>
      </c>
    </row>
    <row r="8" spans="2:5" x14ac:dyDescent="0.2">
      <c r="C8" t="s">
        <v>88</v>
      </c>
      <c r="D8" s="12">
        <f>100%-D7</f>
        <v>0.4</v>
      </c>
      <c r="E8">
        <v>20</v>
      </c>
    </row>
    <row r="10" spans="2:5" x14ac:dyDescent="0.2">
      <c r="D10" t="s">
        <v>86</v>
      </c>
      <c r="E10">
        <f>C4*D7*E7+C4*D8*E8</f>
        <v>3800</v>
      </c>
    </row>
    <row r="12" spans="2:5" x14ac:dyDescent="0.2">
      <c r="C12">
        <f>E10</f>
        <v>3800</v>
      </c>
    </row>
    <row r="13" spans="2:5" x14ac:dyDescent="0.2">
      <c r="B13" s="11">
        <v>0.5</v>
      </c>
      <c r="C13">
        <f t="dataTable" ref="C13:C17" dt2D="0" dtr="0" r1="D7" ca="1"/>
        <v>3500</v>
      </c>
    </row>
    <row r="14" spans="2:5" x14ac:dyDescent="0.2">
      <c r="B14" s="11">
        <v>0.6</v>
      </c>
      <c r="C14">
        <v>3800</v>
      </c>
    </row>
    <row r="15" spans="2:5" x14ac:dyDescent="0.2">
      <c r="B15" s="11">
        <v>0.7</v>
      </c>
      <c r="C15">
        <v>4100</v>
      </c>
    </row>
    <row r="16" spans="2:5" x14ac:dyDescent="0.2">
      <c r="B16" s="11">
        <v>0.8</v>
      </c>
      <c r="C16">
        <v>4400</v>
      </c>
    </row>
    <row r="17" spans="2:8" x14ac:dyDescent="0.2">
      <c r="B17" s="11">
        <v>0.9</v>
      </c>
      <c r="C17">
        <v>4700</v>
      </c>
    </row>
    <row r="20" spans="2:8" x14ac:dyDescent="0.2">
      <c r="B20">
        <f>E10</f>
        <v>3800</v>
      </c>
      <c r="C20">
        <v>20</v>
      </c>
      <c r="D20">
        <v>30</v>
      </c>
      <c r="E20">
        <v>40</v>
      </c>
      <c r="F20">
        <v>50</v>
      </c>
      <c r="G20">
        <v>60</v>
      </c>
      <c r="H20">
        <v>70</v>
      </c>
    </row>
    <row r="21" spans="2:8" x14ac:dyDescent="0.2">
      <c r="B21" s="11">
        <v>0.5</v>
      </c>
      <c r="C21">
        <f t="dataTable" ref="C21:H25" dt2D="1" dtr="1" r1="E7" r2="D7"/>
        <v>2000</v>
      </c>
      <c r="D21">
        <v>2500</v>
      </c>
      <c r="E21">
        <v>3000</v>
      </c>
      <c r="F21">
        <v>3500</v>
      </c>
      <c r="G21">
        <v>4000</v>
      </c>
      <c r="H21">
        <v>4500</v>
      </c>
    </row>
    <row r="22" spans="2:8" x14ac:dyDescent="0.2">
      <c r="B22" s="11">
        <v>0.6</v>
      </c>
      <c r="C22">
        <v>2000</v>
      </c>
      <c r="D22">
        <v>2600</v>
      </c>
      <c r="E22">
        <v>3200</v>
      </c>
      <c r="F22">
        <v>3800</v>
      </c>
      <c r="G22">
        <v>4400</v>
      </c>
      <c r="H22">
        <v>5000</v>
      </c>
    </row>
    <row r="23" spans="2:8" x14ac:dyDescent="0.2">
      <c r="B23" s="11">
        <v>0.7</v>
      </c>
      <c r="C23">
        <v>2000</v>
      </c>
      <c r="D23">
        <v>2700</v>
      </c>
      <c r="E23">
        <v>3400</v>
      </c>
      <c r="F23">
        <v>4100</v>
      </c>
      <c r="G23">
        <v>4800</v>
      </c>
      <c r="H23">
        <v>5500</v>
      </c>
    </row>
    <row r="24" spans="2:8" x14ac:dyDescent="0.2">
      <c r="B24" s="11">
        <v>0.8</v>
      </c>
      <c r="C24">
        <v>2000</v>
      </c>
      <c r="D24">
        <v>2800</v>
      </c>
      <c r="E24">
        <v>3600</v>
      </c>
      <c r="F24">
        <v>4400</v>
      </c>
      <c r="G24">
        <v>5200</v>
      </c>
      <c r="H24">
        <v>6000</v>
      </c>
    </row>
    <row r="25" spans="2:8" x14ac:dyDescent="0.2">
      <c r="B25" s="11">
        <v>0.9</v>
      </c>
      <c r="C25">
        <v>2000</v>
      </c>
      <c r="D25">
        <v>2900</v>
      </c>
      <c r="E25">
        <v>3800</v>
      </c>
      <c r="F25">
        <v>4700</v>
      </c>
      <c r="G25">
        <v>5600</v>
      </c>
      <c r="H25">
        <v>6500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2:C8"/>
  <sheetViews>
    <sheetView workbookViewId="0">
      <selection activeCell="I21" sqref="I21"/>
    </sheetView>
  </sheetViews>
  <sheetFormatPr baseColWidth="10" defaultColWidth="8.83203125" defaultRowHeight="15" x14ac:dyDescent="0.2"/>
  <cols>
    <col min="1" max="1" width="14.1640625" bestFit="1" customWidth="1"/>
    <col min="2" max="2" width="10.1640625" bestFit="1" customWidth="1"/>
  </cols>
  <sheetData>
    <row r="2" spans="1:3" x14ac:dyDescent="0.2">
      <c r="A2" t="s">
        <v>113</v>
      </c>
    </row>
    <row r="4" spans="1:3" x14ac:dyDescent="0.2">
      <c r="B4" t="s">
        <v>117</v>
      </c>
      <c r="C4">
        <v>15</v>
      </c>
    </row>
    <row r="5" spans="1:3" x14ac:dyDescent="0.2">
      <c r="B5" t="s">
        <v>114</v>
      </c>
      <c r="C5">
        <v>20</v>
      </c>
    </row>
    <row r="6" spans="1:3" x14ac:dyDescent="0.2">
      <c r="B6" t="s">
        <v>115</v>
      </c>
      <c r="C6">
        <v>17</v>
      </c>
    </row>
    <row r="7" spans="1:3" x14ac:dyDescent="0.2">
      <c r="B7" t="s">
        <v>116</v>
      </c>
      <c r="C7">
        <v>16</v>
      </c>
    </row>
    <row r="8" spans="1:3" x14ac:dyDescent="0.2">
      <c r="B8" t="s">
        <v>112</v>
      </c>
      <c r="C8">
        <f>(C4+C5+C6+C7)/4</f>
        <v>17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3:H10"/>
  <sheetViews>
    <sheetView workbookViewId="0">
      <selection activeCell="F5" sqref="F5"/>
    </sheetView>
  </sheetViews>
  <sheetFormatPr baseColWidth="10" defaultColWidth="8.83203125" defaultRowHeight="15" x14ac:dyDescent="0.2"/>
  <cols>
    <col min="2" max="2" width="10.6640625" bestFit="1" customWidth="1"/>
    <col min="5" max="5" width="10.5" customWidth="1"/>
    <col min="6" max="6" width="10.83203125" bestFit="1" customWidth="1"/>
    <col min="7" max="7" width="4.33203125" customWidth="1"/>
    <col min="8" max="8" width="32.83203125" bestFit="1" customWidth="1"/>
  </cols>
  <sheetData>
    <row r="3" spans="2:8" x14ac:dyDescent="0.2">
      <c r="B3" s="34" t="s">
        <v>113</v>
      </c>
      <c r="C3" s="34"/>
      <c r="F3" t="s">
        <v>118</v>
      </c>
    </row>
    <row r="4" spans="2:8" x14ac:dyDescent="0.2">
      <c r="B4" s="31" t="s">
        <v>170</v>
      </c>
      <c r="C4" s="1">
        <v>13</v>
      </c>
      <c r="G4" s="15"/>
      <c r="H4" t="s">
        <v>119</v>
      </c>
    </row>
    <row r="5" spans="2:8" x14ac:dyDescent="0.2">
      <c r="B5" s="29" t="s">
        <v>117</v>
      </c>
      <c r="C5" s="1"/>
      <c r="F5" s="14"/>
      <c r="G5" s="15"/>
      <c r="H5" t="s">
        <v>120</v>
      </c>
    </row>
    <row r="6" spans="2:8" x14ac:dyDescent="0.2">
      <c r="B6" s="29" t="s">
        <v>114</v>
      </c>
      <c r="C6" s="1"/>
      <c r="F6" s="14" t="s">
        <v>168</v>
      </c>
      <c r="G6" s="15"/>
      <c r="H6" t="s">
        <v>121</v>
      </c>
    </row>
    <row r="7" spans="2:8" x14ac:dyDescent="0.2">
      <c r="B7" s="29" t="s">
        <v>115</v>
      </c>
      <c r="C7" s="1"/>
      <c r="F7" s="14"/>
      <c r="G7" s="15"/>
      <c r="H7" t="s">
        <v>122</v>
      </c>
    </row>
    <row r="8" spans="2:8" x14ac:dyDescent="0.2">
      <c r="B8" s="29" t="s">
        <v>116</v>
      </c>
    </row>
    <row r="9" spans="2:8" x14ac:dyDescent="0.2">
      <c r="B9" s="30" t="s">
        <v>169</v>
      </c>
    </row>
    <row r="10" spans="2:8" x14ac:dyDescent="0.2">
      <c r="B10" s="32" t="s">
        <v>171</v>
      </c>
    </row>
  </sheetData>
  <mergeCells count="1">
    <mergeCell ref="B3:C3"/>
  </mergeCells>
  <dataValidations count="6">
    <dataValidation type="whole" allowBlank="1" showInputMessage="1" showErrorMessage="1" sqref="C8 C4:D4" xr:uid="{00000000-0002-0000-0700-000000000000}">
      <formula1>0</formula1>
      <formula2>20</formula2>
    </dataValidation>
    <dataValidation errorStyle="warning" allowBlank="1" showInputMessage="1" showErrorMessage="1" errorTitle="Erro " error="Por favor, escreva de novo. " sqref="C5" xr:uid="{47A02353-E9BF-F946-9ADA-75090673A5B2}"/>
    <dataValidation errorStyle="information" allowBlank="1" showInputMessage="1" showErrorMessage="1" promptTitle="Data " prompt="Escreva uma data " sqref="C6" xr:uid="{4C31491B-C5B0-884B-B620-32FBDA7354D4}"/>
    <dataValidation type="list" allowBlank="1" showInputMessage="1" showErrorMessage="1" sqref="F6" xr:uid="{829C0D14-E613-C645-B362-B7522F0D3BD4}">
      <formula1>"""portugues,matematica"""</formula1>
    </dataValidation>
    <dataValidation type="list" allowBlank="1" showInputMessage="1" showErrorMessage="1" sqref="F7" xr:uid="{A910218B-AD5E-2C43-B677-8FD6D29D6ACC}">
      <formula1>notas</formula1>
    </dataValidation>
    <dataValidation type="list" allowBlank="1" showInputMessage="1" showErrorMessage="1" sqref="F5" xr:uid="{01E97AB6-3CF4-3B4F-9922-95AEE304DBF6}">
      <formula1>$B$5:$B$8</formula1>
    </dataValidation>
  </dataValidation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B3:H10"/>
  <sheetViews>
    <sheetView workbookViewId="0">
      <selection activeCell="N17" sqref="N17"/>
    </sheetView>
  </sheetViews>
  <sheetFormatPr baseColWidth="10" defaultColWidth="8.83203125" defaultRowHeight="15" x14ac:dyDescent="0.2"/>
  <cols>
    <col min="6" max="7" width="9.83203125" customWidth="1"/>
  </cols>
  <sheetData>
    <row r="3" spans="2:8" x14ac:dyDescent="0.2">
      <c r="B3" s="33" t="s">
        <v>172</v>
      </c>
      <c r="C3" t="s">
        <v>124</v>
      </c>
    </row>
    <row r="4" spans="2:8" x14ac:dyDescent="0.2">
      <c r="B4" s="33" t="s">
        <v>173</v>
      </c>
      <c r="C4" t="s">
        <v>129</v>
      </c>
    </row>
    <row r="7" spans="2:8" x14ac:dyDescent="0.2">
      <c r="C7" t="s">
        <v>123</v>
      </c>
      <c r="F7" t="s">
        <v>124</v>
      </c>
      <c r="G7" t="s">
        <v>125</v>
      </c>
      <c r="H7" t="s">
        <v>126</v>
      </c>
    </row>
    <row r="8" spans="2:8" x14ac:dyDescent="0.2">
      <c r="C8" t="s">
        <v>124</v>
      </c>
      <c r="F8" t="s">
        <v>129</v>
      </c>
      <c r="G8" t="s">
        <v>127</v>
      </c>
      <c r="H8" t="s">
        <v>128</v>
      </c>
    </row>
    <row r="9" spans="2:8" x14ac:dyDescent="0.2">
      <c r="C9" t="s">
        <v>125</v>
      </c>
      <c r="F9" t="s">
        <v>130</v>
      </c>
      <c r="G9" t="s">
        <v>131</v>
      </c>
      <c r="H9" t="s">
        <v>132</v>
      </c>
    </row>
    <row r="10" spans="2:8" x14ac:dyDescent="0.2">
      <c r="C10" t="s">
        <v>126</v>
      </c>
      <c r="F10" t="s">
        <v>133</v>
      </c>
      <c r="G10" t="s">
        <v>134</v>
      </c>
      <c r="H10" t="s">
        <v>135</v>
      </c>
    </row>
  </sheetData>
  <dataValidations count="2">
    <dataValidation type="list" allowBlank="1" showInputMessage="1" showErrorMessage="1" sqref="C3" xr:uid="{EC32AFC9-D0E7-754B-A163-8747DBF69574}">
      <formula1>Pais</formula1>
    </dataValidation>
    <dataValidation type="list" allowBlank="1" showInputMessage="1" showErrorMessage="1" sqref="C4" xr:uid="{7A19841E-C149-C449-81A4-862AFA618BB7}">
      <formula1>INDIRECT($C$3)</formula1>
    </dataValidation>
  </dataValidations>
  <pageMargins left="0.7" right="0.7" top="0.75" bottom="0.75" header="0.3" footer="0.3"/>
  <drawing r:id="rId1"/>
  <tableParts count="2"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C963C8D-6FF4-4502-B5C8-969D0510F43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7</vt:i4>
      </vt:variant>
    </vt:vector>
  </HeadingPairs>
  <TitlesOfParts>
    <vt:vector size="17" baseType="lpstr">
      <vt:lpstr>Programa</vt:lpstr>
      <vt:lpstr>Calculadora</vt:lpstr>
      <vt:lpstr>Filtros</vt:lpstr>
      <vt:lpstr>PreencheAuto</vt:lpstr>
      <vt:lpstr>Scenario Summary</vt:lpstr>
      <vt:lpstr>Cenarios</vt:lpstr>
      <vt:lpstr>Data Table</vt:lpstr>
      <vt:lpstr>Goal Seek</vt:lpstr>
      <vt:lpstr>Validação</vt:lpstr>
      <vt:lpstr>Lista Suspensa Condicional</vt:lpstr>
      <vt:lpstr>Filtros!Criteria</vt:lpstr>
      <vt:lpstr>Espanha</vt:lpstr>
      <vt:lpstr>Filtros!Extract</vt:lpstr>
      <vt:lpstr>França</vt:lpstr>
      <vt:lpstr>notas</vt:lpstr>
      <vt:lpstr>Pais</vt:lpstr>
      <vt:lpstr>Portugal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2018-08-14T10:22:12Z</dcterms:created>
  <dcterms:modified xsi:type="dcterms:W3CDTF">2019-10-28T09:49:16Z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68e17d88-e85b-4e04-a6c3-cb71d26cb5e8</vt:lpwstr>
  </property>
  <property fmtid="{D5CDD505-2E9C-101B-9397-08002B2CF9AE}" pid="3" name="ConnectionInfosStorage">
    <vt:lpwstr>WorkbookXmlParts</vt:lpwstr>
  </property>
</Properties>
</file>